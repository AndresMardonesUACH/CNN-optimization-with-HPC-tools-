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ym\CLASES\SEMESTRE 9\COMPUTACION DE ALTO RENDIMIENTO\CNN-optimization-with-HPC-tools-\"/>
    </mc:Choice>
  </mc:AlternateContent>
  <xr:revisionPtr revIDLastSave="0" documentId="13_ncr:1_{19682654-DCDD-4550-AB46-9EBF8E775FE1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Benchmark CNN HPC" sheetId="1" r:id="rId1"/>
    <sheet name="Instrucciones" sheetId="2" r:id="rId2"/>
  </sheets>
  <calcPr calcId="191029"/>
</workbook>
</file>

<file path=xl/calcChain.xml><?xml version="1.0" encoding="utf-8"?>
<calcChain xmlns="http://schemas.openxmlformats.org/spreadsheetml/2006/main">
  <c r="D36" i="1" l="1"/>
  <c r="D35" i="1"/>
  <c r="D34" i="1"/>
  <c r="D33" i="1"/>
  <c r="D31" i="1"/>
  <c r="D30" i="1"/>
  <c r="D29" i="1"/>
  <c r="D28" i="1"/>
  <c r="D32" i="1"/>
  <c r="D27" i="1"/>
  <c r="D26" i="1"/>
  <c r="D25" i="1"/>
  <c r="D24" i="1"/>
  <c r="D23" i="1"/>
  <c r="D22" i="1"/>
  <c r="M12" i="1"/>
  <c r="N12" i="1" s="1"/>
  <c r="O12" i="1"/>
  <c r="P12" i="1"/>
  <c r="M7" i="1"/>
  <c r="N7" i="1" s="1"/>
  <c r="O7" i="1"/>
  <c r="P7" i="1"/>
  <c r="M17" i="1"/>
  <c r="N17" i="1" s="1"/>
  <c r="O17" i="1"/>
  <c r="P17" i="1"/>
  <c r="M13" i="1"/>
  <c r="Q16" i="1" s="1"/>
  <c r="N13" i="1"/>
  <c r="P16" i="1"/>
  <c r="O16" i="1"/>
  <c r="M16" i="1"/>
  <c r="N16" i="1" s="1"/>
  <c r="P15" i="1"/>
  <c r="O15" i="1"/>
  <c r="M15" i="1"/>
  <c r="N15" i="1" s="1"/>
  <c r="P14" i="1"/>
  <c r="O14" i="1"/>
  <c r="M14" i="1"/>
  <c r="N14" i="1" s="1"/>
  <c r="P13" i="1"/>
  <c r="O13" i="1"/>
  <c r="P11" i="1"/>
  <c r="O11" i="1"/>
  <c r="M11" i="1"/>
  <c r="N11" i="1" s="1"/>
  <c r="P10" i="1"/>
  <c r="O10" i="1"/>
  <c r="M10" i="1"/>
  <c r="N10" i="1" s="1"/>
  <c r="P9" i="1"/>
  <c r="O9" i="1"/>
  <c r="M9" i="1"/>
  <c r="N9" i="1" s="1"/>
  <c r="P8" i="1"/>
  <c r="O8" i="1"/>
  <c r="M8" i="1"/>
  <c r="Q10" i="1" s="1"/>
  <c r="P6" i="1"/>
  <c r="O6" i="1"/>
  <c r="M6" i="1"/>
  <c r="N6" i="1" s="1"/>
  <c r="P5" i="1"/>
  <c r="O5" i="1"/>
  <c r="M5" i="1"/>
  <c r="N5" i="1" s="1"/>
  <c r="P4" i="1"/>
  <c r="O4" i="1"/>
  <c r="M4" i="1"/>
  <c r="N4" i="1" s="1"/>
  <c r="P3" i="1"/>
  <c r="O3" i="1"/>
  <c r="M3" i="1"/>
  <c r="Q6" i="1" s="1"/>
  <c r="R10" i="1" l="1"/>
  <c r="Q7" i="1"/>
  <c r="R7" i="1" s="1"/>
  <c r="T7" i="1" s="1"/>
  <c r="Q12" i="1"/>
  <c r="R12" i="1" s="1"/>
  <c r="T12" i="1" s="1"/>
  <c r="N8" i="1"/>
  <c r="N3" i="1"/>
  <c r="Q17" i="1"/>
  <c r="R17" i="1" s="1"/>
  <c r="T17" i="1" s="1"/>
  <c r="Q4" i="1"/>
  <c r="R4" i="1" s="1"/>
  <c r="T4" i="1" s="1"/>
  <c r="R6" i="1"/>
  <c r="T6" i="1" s="1"/>
  <c r="Q5" i="1"/>
  <c r="R5" i="1" s="1"/>
  <c r="T5" i="1" s="1"/>
  <c r="T10" i="1"/>
  <c r="Q9" i="1"/>
  <c r="R9" i="1" s="1"/>
  <c r="T9" i="1" s="1"/>
  <c r="R16" i="1"/>
  <c r="T16" i="1" s="1"/>
  <c r="Q14" i="1"/>
  <c r="Q3" i="1"/>
  <c r="R3" i="1" s="1"/>
  <c r="T3" i="1" s="1"/>
  <c r="Q13" i="1"/>
  <c r="R13" i="1" s="1"/>
  <c r="T13" i="1" s="1"/>
  <c r="Q11" i="1"/>
  <c r="Q15" i="1"/>
  <c r="R15" i="1" s="1"/>
  <c r="T15" i="1" s="1"/>
  <c r="Q8" i="1"/>
  <c r="R8" i="1" s="1"/>
  <c r="T8" i="1" s="1"/>
  <c r="R11" i="1" l="1"/>
  <c r="T11" i="1" s="1"/>
  <c r="R14" i="1"/>
  <c r="T14" i="1" s="1"/>
</calcChain>
</file>

<file path=xl/sharedStrings.xml><?xml version="1.0" encoding="utf-8"?>
<sst xmlns="http://schemas.openxmlformats.org/spreadsheetml/2006/main" count="130" uniqueCount="56">
  <si>
    <t>Version</t>
  </si>
  <si>
    <t>Benchmark</t>
  </si>
  <si>
    <t>Rep 1</t>
  </si>
  <si>
    <t>Rep 2</t>
  </si>
  <si>
    <t>Rep 3</t>
  </si>
  <si>
    <t>Rep 4</t>
  </si>
  <si>
    <t>Rep 5</t>
  </si>
  <si>
    <t>Rep 6</t>
  </si>
  <si>
    <t>Rep 7</t>
  </si>
  <si>
    <t>Rep 8</t>
  </si>
  <si>
    <t>Rep 9</t>
  </si>
  <si>
    <t>Rep 10</t>
  </si>
  <si>
    <t>Promedio (s)</t>
  </si>
  <si>
    <t>Std (s)</t>
  </si>
  <si>
    <t>Min (s)</t>
  </si>
  <si>
    <t>Max (s)</t>
  </si>
  <si>
    <t>Baseline Python (s)</t>
  </si>
  <si>
    <t>Speedup</t>
  </si>
  <si>
    <t>Threads</t>
  </si>
  <si>
    <t>Eficiencia</t>
  </si>
  <si>
    <t>Python</t>
  </si>
  <si>
    <t>Conv forward</t>
  </si>
  <si>
    <t>NumPy</t>
  </si>
  <si>
    <t>Cython CPU</t>
  </si>
  <si>
    <t>JAX GPU</t>
  </si>
  <si>
    <t>Forward red</t>
  </si>
  <si>
    <t>Train completo</t>
  </si>
  <si>
    <t>Uso:</t>
  </si>
  <si>
    <t>1) Ingresa 10 tiempos por fila (Rep 1–Rep 10).</t>
  </si>
  <si>
    <t>2) Baseline Python se calcula automáticamente por benchmark.</t>
  </si>
  <si>
    <t>3) Speedup = baseline Python / promedio.</t>
  </si>
  <si>
    <t>4) Threads: llena solo Cython CPU (ej. 8).</t>
  </si>
  <si>
    <t>5) Eficiencia = Speedup / Threads.</t>
  </si>
  <si>
    <t>6) En JAX usa warmup antes de medir y block_until_ready al final.</t>
  </si>
  <si>
    <t xml:space="preserve">Python </t>
  </si>
  <si>
    <t>1.03 MiB</t>
  </si>
  <si>
    <t>0.31 MiB</t>
  </si>
  <si>
    <t>22.98 MiB</t>
  </si>
  <si>
    <t>35.59 MiB</t>
  </si>
  <si>
    <t xml:space="preserve"> 0.22 MiB</t>
  </si>
  <si>
    <t>10834.829680 J</t>
  </si>
  <si>
    <t>24.068641 J</t>
  </si>
  <si>
    <t>2330.184716 J</t>
  </si>
  <si>
    <t>233.069825 J</t>
  </si>
  <si>
    <t>3310.440130 J</t>
  </si>
  <si>
    <t>RAY</t>
  </si>
  <si>
    <t>Memoria (Equipo local)</t>
  </si>
  <si>
    <t>Energía (Patagón)</t>
  </si>
  <si>
    <t>Tiempos (Patagón)</t>
  </si>
  <si>
    <t>Tiempos</t>
  </si>
  <si>
    <t>Equipo Local</t>
  </si>
  <si>
    <t>N=500</t>
  </si>
  <si>
    <t>N=1000</t>
  </si>
  <si>
    <t>N=5000</t>
  </si>
  <si>
    <t>N=8000</t>
  </si>
  <si>
    <t>Escalabilidad (Patagón)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</si>
</sst>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2" fontId="0" fillId="0" borderId="0" xfId="0" applyNumberFormat="1"/>
    <xf numFmtId="0" fontId="2" fillId="2" borderId="1" xfId="0" applyFont="1" applyFill="1" applyBorder="1" applyAlignment="1">
      <alignment horizontal="center"/>
    </xf>
    <xf numFmtId="0" fontId="0" fillId="0" borderId="2" xfId="0" applyFont="1" applyBorder="1"/>
    <xf numFmtId="0" fontId="0" fillId="3" borderId="2" xfId="0" applyFont="1" applyFill="1" applyBorder="1"/>
    <xf numFmtId="0" fontId="0" fillId="3" borderId="3" xfId="0" applyFont="1" applyFill="1" applyBorder="1"/>
    <xf numFmtId="2" fontId="0" fillId="3" borderId="3" xfId="0" applyNumberFormat="1" applyFont="1" applyFill="1" applyBorder="1"/>
    <xf numFmtId="2" fontId="0" fillId="0" borderId="3" xfId="0" applyNumberFormat="1" applyFont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11"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enchmarkTable" displayName="BenchmarkTable" ref="A2:T17">
  <autoFilter ref="A2:T17" xr:uid="{00000000-0009-0000-0100-000001000000}"/>
  <tableColumns count="20">
    <tableColumn id="1" xr3:uid="{00000000-0010-0000-0000-000001000000}" name="Version"/>
    <tableColumn id="2" xr3:uid="{00000000-0010-0000-0000-000002000000}" name="Benchmark"/>
    <tableColumn id="3" xr3:uid="{00000000-0010-0000-0000-000003000000}" name="Rep 1" dataDxfId="10"/>
    <tableColumn id="4" xr3:uid="{00000000-0010-0000-0000-000004000000}" name="Rep 2" dataDxfId="9"/>
    <tableColumn id="5" xr3:uid="{00000000-0010-0000-0000-000005000000}" name="Rep 3" dataDxfId="8"/>
    <tableColumn id="6" xr3:uid="{00000000-0010-0000-0000-000006000000}" name="Rep 4" dataDxfId="7"/>
    <tableColumn id="7" xr3:uid="{00000000-0010-0000-0000-000007000000}" name="Rep 5" dataDxfId="6"/>
    <tableColumn id="8" xr3:uid="{00000000-0010-0000-0000-000008000000}" name="Rep 6" dataDxfId="5"/>
    <tableColumn id="9" xr3:uid="{00000000-0010-0000-0000-000009000000}" name="Rep 7" dataDxfId="4"/>
    <tableColumn id="10" xr3:uid="{00000000-0010-0000-0000-00000A000000}" name="Rep 8" dataDxfId="3"/>
    <tableColumn id="11" xr3:uid="{00000000-0010-0000-0000-00000B000000}" name="Rep 9" dataDxfId="2"/>
    <tableColumn id="12" xr3:uid="{00000000-0010-0000-0000-00000C000000}" name="Rep 10" dataDxfId="1"/>
    <tableColumn id="13" xr3:uid="{00000000-0010-0000-0000-00000D000000}" name="Promedio (s)">
      <calculatedColumnFormula>AVERAGE(C3:L3)</calculatedColumnFormula>
    </tableColumn>
    <tableColumn id="14" xr3:uid="{00000000-0010-0000-0000-00000E000000}" name="Std (s)" dataDxfId="0">
      <calculatedColumnFormula>_xlfn.STDEV.S(BenchmarkTable[[#This Row],[Rep 1]:[Promedio (s)]])</calculatedColumnFormula>
    </tableColumn>
    <tableColumn id="15" xr3:uid="{00000000-0010-0000-0000-00000F000000}" name="Min (s)">
      <calculatedColumnFormula>MIN(C3:L3)</calculatedColumnFormula>
    </tableColumn>
    <tableColumn id="16" xr3:uid="{00000000-0010-0000-0000-000010000000}" name="Max (s)">
      <calculatedColumnFormula>MAX(C3:L3)</calculatedColumnFormula>
    </tableColumn>
    <tableColumn id="17" xr3:uid="{00000000-0010-0000-0000-000011000000}" name="Baseline Python (s)"/>
    <tableColumn id="18" xr3:uid="{00000000-0010-0000-0000-000012000000}" name="Speedup"/>
    <tableColumn id="19" xr3:uid="{00000000-0010-0000-0000-000013000000}" name="Threads"/>
    <tableColumn id="20" xr3:uid="{00000000-0010-0000-0000-000014000000}" name="Eficiencia">
      <calculatedColumnFormula>IFERROR(R3/S3,"")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"/>
  <sheetViews>
    <sheetView tabSelected="1" topLeftCell="A19" zoomScaleNormal="100" workbookViewId="0">
      <selection activeCell="K36" sqref="K36"/>
    </sheetView>
  </sheetViews>
  <sheetFormatPr baseColWidth="10" defaultColWidth="9.140625" defaultRowHeight="15" x14ac:dyDescent="0.25"/>
  <cols>
    <col min="1" max="20" width="14" customWidth="1"/>
  </cols>
  <sheetData>
    <row r="1" spans="1:20" x14ac:dyDescent="0.25">
      <c r="A1" s="9" t="s">
        <v>50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0"/>
    </row>
    <row r="2" spans="1:20" x14ac:dyDescent="0.25">
      <c r="A2" s="3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 spans="1:20" x14ac:dyDescent="0.25">
      <c r="A3" t="s">
        <v>34</v>
      </c>
      <c r="B3" t="s">
        <v>21</v>
      </c>
      <c r="C3" s="2">
        <v>52.7759</v>
      </c>
      <c r="D3" s="2">
        <v>53.934399999999997</v>
      </c>
      <c r="E3" s="2">
        <v>52.967799999999997</v>
      </c>
      <c r="F3" s="2">
        <v>52.572000000000003</v>
      </c>
      <c r="G3" s="2">
        <v>52.821599999999997</v>
      </c>
      <c r="H3" s="2">
        <v>53.421300000000002</v>
      </c>
      <c r="I3" s="2">
        <v>53.253599999999999</v>
      </c>
      <c r="J3" s="2">
        <v>52.9193</v>
      </c>
      <c r="K3" s="2">
        <v>54.165599999999998</v>
      </c>
      <c r="L3" s="2">
        <v>52.722099999999998</v>
      </c>
      <c r="M3">
        <f t="shared" ref="M3:M6" si="0">AVERAGE(C3:L3)</f>
        <v>53.155359999999995</v>
      </c>
      <c r="N3">
        <f>_xlfn.STDEV.S(BenchmarkTable[[#This Row],[Rep 1]:[Promedio (s)]])</f>
        <v>0.50815107832218498</v>
      </c>
      <c r="O3">
        <f t="shared" ref="O3:O6" si="1">MIN(C3:L3)</f>
        <v>52.572000000000003</v>
      </c>
      <c r="P3">
        <f t="shared" ref="P3:P6" si="2">MAX(C3:L3)</f>
        <v>54.165599999999998</v>
      </c>
      <c r="Q3">
        <f>M3</f>
        <v>53.155359999999995</v>
      </c>
      <c r="R3">
        <f t="shared" ref="R3:R6" si="3">IFERROR(Q3/M3,"")</f>
        <v>1</v>
      </c>
      <c r="T3" t="str">
        <f t="shared" ref="T3:T6" si="4">IFERROR(R3/S3,"")</f>
        <v/>
      </c>
    </row>
    <row r="4" spans="1:20" x14ac:dyDescent="0.25">
      <c r="A4" t="s">
        <v>22</v>
      </c>
      <c r="B4" t="s">
        <v>21</v>
      </c>
      <c r="C4" s="2">
        <v>7.3099999999999998E-2</v>
      </c>
      <c r="D4" s="2">
        <v>4.3700000000000003E-2</v>
      </c>
      <c r="E4" s="2">
        <v>4.7500000000000001E-2</v>
      </c>
      <c r="F4" s="2">
        <v>4.2999999999999997E-2</v>
      </c>
      <c r="G4" s="2">
        <v>4.9299999999999997E-2</v>
      </c>
      <c r="H4" s="2">
        <v>4.0599999999999997E-2</v>
      </c>
      <c r="I4" s="2">
        <v>6.8699999999999997E-2</v>
      </c>
      <c r="J4" s="2">
        <v>4.1000000000000002E-2</v>
      </c>
      <c r="K4" s="2">
        <v>4.02E-2</v>
      </c>
      <c r="L4" s="2">
        <v>5.9900000000000002E-2</v>
      </c>
      <c r="M4">
        <f t="shared" si="0"/>
        <v>5.0700000000000002E-2</v>
      </c>
      <c r="N4">
        <f>_xlfn.STDEV.S(BenchmarkTable[[#This Row],[Rep 1]:[Promedio (s)]])</f>
        <v>1.1563909373563941E-2</v>
      </c>
      <c r="O4">
        <f t="shared" si="1"/>
        <v>4.02E-2</v>
      </c>
      <c r="P4">
        <f t="shared" si="2"/>
        <v>7.3099999999999998E-2</v>
      </c>
      <c r="Q4">
        <f>M3</f>
        <v>53.155359999999995</v>
      </c>
      <c r="R4">
        <f t="shared" si="3"/>
        <v>1048.4291913214988</v>
      </c>
      <c r="T4" t="str">
        <f t="shared" si="4"/>
        <v/>
      </c>
    </row>
    <row r="5" spans="1:20" x14ac:dyDescent="0.25">
      <c r="A5" t="s">
        <v>23</v>
      </c>
      <c r="B5" t="s">
        <v>21</v>
      </c>
      <c r="C5" s="2">
        <v>0.14660000000000001</v>
      </c>
      <c r="D5" s="2">
        <v>0.1188</v>
      </c>
      <c r="E5" s="2">
        <v>0.12959999999999999</v>
      </c>
      <c r="F5" s="2">
        <v>0.1182</v>
      </c>
      <c r="G5" s="2">
        <v>0.1255</v>
      </c>
      <c r="H5" s="2">
        <v>0.17119999999999999</v>
      </c>
      <c r="I5" s="2">
        <v>0.14430000000000001</v>
      </c>
      <c r="J5" s="2">
        <v>0.13489999999999999</v>
      </c>
      <c r="K5" s="2">
        <v>0.12280000000000001</v>
      </c>
      <c r="L5" s="2">
        <v>0.14849999999999999</v>
      </c>
      <c r="M5">
        <f t="shared" si="0"/>
        <v>0.13603999999999999</v>
      </c>
      <c r="N5">
        <f>_xlfn.STDEV.S(BenchmarkTable[[#This Row],[Rep 1]:[Promedio (s)]])</f>
        <v>1.5861475341215833E-2</v>
      </c>
      <c r="O5">
        <f t="shared" si="1"/>
        <v>0.1182</v>
      </c>
      <c r="P5">
        <f t="shared" si="2"/>
        <v>0.17119999999999999</v>
      </c>
      <c r="Q5">
        <f>M3</f>
        <v>53.155359999999995</v>
      </c>
      <c r="R5">
        <f t="shared" si="3"/>
        <v>390.73331373125546</v>
      </c>
      <c r="S5">
        <v>6</v>
      </c>
      <c r="T5">
        <f t="shared" si="4"/>
        <v>65.122218955209249</v>
      </c>
    </row>
    <row r="6" spans="1:20" x14ac:dyDescent="0.25">
      <c r="A6" t="s">
        <v>24</v>
      </c>
      <c r="B6" t="s">
        <v>21</v>
      </c>
      <c r="C6" s="2">
        <v>1.2032</v>
      </c>
      <c r="D6" s="2">
        <v>1.1868000000000001</v>
      </c>
      <c r="E6" s="2">
        <v>0.94059999999999999</v>
      </c>
      <c r="F6" s="2">
        <v>0.95330000000000004</v>
      </c>
      <c r="G6" s="2">
        <v>1.1608000000000001</v>
      </c>
      <c r="H6" s="2">
        <v>1.1836</v>
      </c>
      <c r="I6" s="2">
        <v>0.95709999999999995</v>
      </c>
      <c r="J6" s="2">
        <v>1.1329</v>
      </c>
      <c r="K6" s="2">
        <v>0.99450000000000005</v>
      </c>
      <c r="L6" s="2">
        <v>0.97650000000000003</v>
      </c>
      <c r="M6">
        <f t="shared" si="0"/>
        <v>1.0689299999999999</v>
      </c>
      <c r="N6">
        <f>_xlfn.STDEV.S(BenchmarkTable[[#This Row],[Rep 1]:[Promedio (s)]])</f>
        <v>0.1067853927276573</v>
      </c>
      <c r="O6">
        <f t="shared" si="1"/>
        <v>0.94059999999999999</v>
      </c>
      <c r="P6">
        <f t="shared" si="2"/>
        <v>1.2032</v>
      </c>
      <c r="Q6">
        <f>M3</f>
        <v>53.155359999999995</v>
      </c>
      <c r="R6">
        <f t="shared" si="3"/>
        <v>49.727634176232307</v>
      </c>
      <c r="T6" t="str">
        <f t="shared" si="4"/>
        <v/>
      </c>
    </row>
    <row r="7" spans="1:20" x14ac:dyDescent="0.25">
      <c r="A7" t="s">
        <v>45</v>
      </c>
      <c r="B7" t="s">
        <v>21</v>
      </c>
      <c r="C7" s="2">
        <v>11.278700000000001</v>
      </c>
      <c r="D7" s="2">
        <v>11.4213</v>
      </c>
      <c r="E7" s="2">
        <v>11.892300000000001</v>
      </c>
      <c r="F7" s="2">
        <v>10.8391</v>
      </c>
      <c r="G7" s="2">
        <v>11.129300000000001</v>
      </c>
      <c r="H7" s="2">
        <v>11.290100000000001</v>
      </c>
      <c r="I7" s="2">
        <v>12.1151</v>
      </c>
      <c r="J7" s="2">
        <v>11.7623</v>
      </c>
      <c r="K7" s="2">
        <v>11.651199999999999</v>
      </c>
      <c r="L7" s="2">
        <v>10.956200000000001</v>
      </c>
      <c r="M7">
        <f t="shared" ref="M7" si="5">AVERAGE(C7:L7)</f>
        <v>11.43356</v>
      </c>
      <c r="N7">
        <f>_xlfn.STDEV.S(BenchmarkTable[[#This Row],[Rep 1]:[Promedio (s)]])</f>
        <v>0.39356300944067374</v>
      </c>
      <c r="O7">
        <f t="shared" ref="O7" si="6">MIN(C7:L7)</f>
        <v>10.8391</v>
      </c>
      <c r="P7">
        <f t="shared" ref="P7" si="7">MAX(C7:L7)</f>
        <v>12.1151</v>
      </c>
      <c r="Q7">
        <f>M3</f>
        <v>53.155359999999995</v>
      </c>
      <c r="R7">
        <f>IFERROR(BenchmarkTable[[#This Row],[Baseline Python (s)]]/BenchmarkTable[[#This Row],[Promedio (s)]],"")</f>
        <v>4.6490646832657543</v>
      </c>
      <c r="T7" t="str">
        <f t="shared" ref="T7" si="8">IFERROR(R7/S7,"")</f>
        <v/>
      </c>
    </row>
    <row r="8" spans="1:20" x14ac:dyDescent="0.25">
      <c r="A8" t="s">
        <v>20</v>
      </c>
      <c r="B8" t="s">
        <v>25</v>
      </c>
      <c r="C8" s="2">
        <v>58.154699999999998</v>
      </c>
      <c r="D8" s="2">
        <v>58.182200000000002</v>
      </c>
      <c r="E8" s="2">
        <v>57.320900000000002</v>
      </c>
      <c r="F8" s="2">
        <v>57.659300000000002</v>
      </c>
      <c r="G8" s="2">
        <v>57.891300000000001</v>
      </c>
      <c r="H8" s="2">
        <v>57.954099999999997</v>
      </c>
      <c r="I8" s="2">
        <v>58.2943</v>
      </c>
      <c r="J8" s="2">
        <v>58.810699999999997</v>
      </c>
      <c r="K8" s="2">
        <v>58.645499999999998</v>
      </c>
      <c r="L8" s="2">
        <v>57.954700000000003</v>
      </c>
      <c r="M8">
        <f>AVERAGE(C8:L8)</f>
        <v>58.086770000000001</v>
      </c>
      <c r="N8">
        <f>_xlfn.STDEV.S(BenchmarkTable[[#This Row],[Rep 1]:[Promedio (s)]])</f>
        <v>0.41660337504633704</v>
      </c>
      <c r="O8">
        <f>MIN(C8:L8)</f>
        <v>57.320900000000002</v>
      </c>
      <c r="P8">
        <f>MAX(C8:L8)</f>
        <v>58.810699999999997</v>
      </c>
      <c r="Q8">
        <f>M8</f>
        <v>58.086770000000001</v>
      </c>
      <c r="R8">
        <f>IFERROR(Q8/M8,"")</f>
        <v>1</v>
      </c>
      <c r="T8" t="str">
        <f>IFERROR(R8/S8,"")</f>
        <v/>
      </c>
    </row>
    <row r="9" spans="1:20" x14ac:dyDescent="0.25">
      <c r="A9" t="s">
        <v>22</v>
      </c>
      <c r="B9" t="s">
        <v>25</v>
      </c>
      <c r="C9" s="2">
        <v>9.5000000000000001E-2</v>
      </c>
      <c r="D9" s="2">
        <v>0.1003</v>
      </c>
      <c r="E9" s="2">
        <v>9.4200000000000006E-2</v>
      </c>
      <c r="F9" s="2">
        <v>9.2700000000000005E-2</v>
      </c>
      <c r="G9" s="2">
        <v>0.13819999999999999</v>
      </c>
      <c r="H9" s="2">
        <v>8.3400000000000002E-2</v>
      </c>
      <c r="I9" s="2">
        <v>0.1195</v>
      </c>
      <c r="J9" s="2">
        <v>9.1899999999999996E-2</v>
      </c>
      <c r="K9" s="2">
        <v>9.9500000000000005E-2</v>
      </c>
      <c r="L9" s="2">
        <v>8.5099999999999995E-2</v>
      </c>
      <c r="M9">
        <f>AVERAGE(C9:L9)</f>
        <v>9.9979999999999999E-2</v>
      </c>
      <c r="N9">
        <f>_xlfn.STDEV.S(BenchmarkTable[[#This Row],[Rep 1]:[Promedio (s)]])</f>
        <v>1.5858549744538375E-2</v>
      </c>
      <c r="O9">
        <f>MIN(C9:L9)</f>
        <v>8.3400000000000002E-2</v>
      </c>
      <c r="P9">
        <f>MAX(C9:L9)</f>
        <v>0.13819999999999999</v>
      </c>
      <c r="Q9">
        <f>M8</f>
        <v>58.086770000000001</v>
      </c>
      <c r="R9">
        <f>IFERROR(Q9/M9,"")</f>
        <v>580.98389677935586</v>
      </c>
      <c r="T9" t="str">
        <f>IFERROR(R9/S9,"")</f>
        <v/>
      </c>
    </row>
    <row r="10" spans="1:20" x14ac:dyDescent="0.25">
      <c r="A10" t="s">
        <v>23</v>
      </c>
      <c r="B10" t="s">
        <v>25</v>
      </c>
      <c r="C10" s="2">
        <v>6.3739999999999997</v>
      </c>
      <c r="D10" s="2">
        <v>6.5787000000000004</v>
      </c>
      <c r="E10" s="2">
        <v>6.4047999999999998</v>
      </c>
      <c r="F10" s="2">
        <v>5.9572000000000003</v>
      </c>
      <c r="G10" s="2">
        <v>6.0659000000000001</v>
      </c>
      <c r="H10" s="2">
        <v>6.3003</v>
      </c>
      <c r="I10" s="2">
        <v>6.3685999999999998</v>
      </c>
      <c r="J10" s="2">
        <v>6.4221000000000004</v>
      </c>
      <c r="K10" s="2">
        <v>6.3951000000000002</v>
      </c>
      <c r="L10" s="2">
        <v>6.9234</v>
      </c>
      <c r="M10">
        <f>AVERAGE(C10:L10)</f>
        <v>6.3790100000000001</v>
      </c>
      <c r="N10">
        <f>_xlfn.STDEV.S(BenchmarkTable[[#This Row],[Rep 1]:[Promedio (s)]])</f>
        <v>0.24926042786611755</v>
      </c>
      <c r="O10">
        <f>MIN(C10:L10)</f>
        <v>5.9572000000000003</v>
      </c>
      <c r="P10">
        <f>MAX(C10:L10)</f>
        <v>6.9234</v>
      </c>
      <c r="Q10">
        <f>M8</f>
        <v>58.086770000000001</v>
      </c>
      <c r="R10">
        <f>IFERROR(Q10/M10,"")</f>
        <v>9.1059223923461481</v>
      </c>
      <c r="S10">
        <v>6</v>
      </c>
      <c r="T10">
        <f>IFERROR(R10/S10,"")</f>
        <v>1.5176537320576913</v>
      </c>
    </row>
    <row r="11" spans="1:20" x14ac:dyDescent="0.25">
      <c r="A11" t="s">
        <v>24</v>
      </c>
      <c r="B11" t="s">
        <v>25</v>
      </c>
      <c r="C11" s="2">
        <v>2.0994000000000002</v>
      </c>
      <c r="D11" s="2">
        <v>1.696</v>
      </c>
      <c r="E11" s="2">
        <v>2.1570999999999998</v>
      </c>
      <c r="F11" s="2">
        <v>2.0413000000000001</v>
      </c>
      <c r="G11" s="2">
        <v>2.0566</v>
      </c>
      <c r="H11" s="2">
        <v>1.8619000000000001</v>
      </c>
      <c r="I11" s="2">
        <v>2.1099000000000001</v>
      </c>
      <c r="J11" s="2">
        <v>2.4163999999999999</v>
      </c>
      <c r="K11" s="2">
        <v>2.0032000000000001</v>
      </c>
      <c r="L11" s="2">
        <v>2.2543000000000002</v>
      </c>
      <c r="M11">
        <f>AVERAGE(C11:L11)</f>
        <v>2.0696099999999999</v>
      </c>
      <c r="N11">
        <f>_xlfn.STDEV.S(BenchmarkTable[[#This Row],[Rep 1]:[Promedio (s)]])</f>
        <v>0.18778919271353184</v>
      </c>
      <c r="O11">
        <f>MIN(C11:L11)</f>
        <v>1.696</v>
      </c>
      <c r="P11">
        <f>MAX(C11:L11)</f>
        <v>2.4163999999999999</v>
      </c>
      <c r="Q11">
        <f>M8</f>
        <v>58.086770000000001</v>
      </c>
      <c r="R11">
        <f>IFERROR(Q11/M11,"")</f>
        <v>28.066529442745253</v>
      </c>
      <c r="T11" t="str">
        <f>IFERROR(R11/S11,"")</f>
        <v/>
      </c>
    </row>
    <row r="12" spans="1:20" x14ac:dyDescent="0.25">
      <c r="A12" t="s">
        <v>45</v>
      </c>
      <c r="B12" t="s">
        <v>25</v>
      </c>
      <c r="C12" s="2">
        <v>17.065999999999999</v>
      </c>
      <c r="D12" s="2">
        <v>18.2134</v>
      </c>
      <c r="E12" s="2">
        <v>17.981999999999999</v>
      </c>
      <c r="F12" s="2">
        <v>16.2395</v>
      </c>
      <c r="G12" s="2">
        <v>17.8994</v>
      </c>
      <c r="H12" s="2">
        <v>18.941199999999998</v>
      </c>
      <c r="I12" s="2">
        <v>17.999099999999999</v>
      </c>
      <c r="J12" s="2">
        <v>17.0139</v>
      </c>
      <c r="K12" s="2">
        <v>16.432099999999998</v>
      </c>
      <c r="L12" s="2">
        <v>17.913799999999998</v>
      </c>
      <c r="M12">
        <f>AVERAGE(C12:L12)</f>
        <v>17.570039999999999</v>
      </c>
      <c r="N12">
        <f>_xlfn.STDEV.S(BenchmarkTable[[#This Row],[Rep 1]:[Promedio (s)]])</f>
        <v>0.80641406634557156</v>
      </c>
      <c r="O12">
        <f>MIN(C12:L12)</f>
        <v>16.2395</v>
      </c>
      <c r="P12">
        <f>MAX(C12:L12)</f>
        <v>18.941199999999998</v>
      </c>
      <c r="Q12">
        <f>M8</f>
        <v>58.086770000000001</v>
      </c>
      <c r="R12">
        <f>IFERROR(BenchmarkTable[[#This Row],[Baseline Python (s)]]/M12,"")</f>
        <v>3.3060123938249433</v>
      </c>
      <c r="T12" t="str">
        <f>IFERROR(R12/S12,"")</f>
        <v/>
      </c>
    </row>
    <row r="13" spans="1:20" x14ac:dyDescent="0.25">
      <c r="A13" t="s">
        <v>20</v>
      </c>
      <c r="B13" t="s">
        <v>26</v>
      </c>
      <c r="C13" s="2">
        <v>135.05680000000001</v>
      </c>
      <c r="D13" s="2">
        <v>134.9118</v>
      </c>
      <c r="E13" s="2">
        <v>135.43860000000001</v>
      </c>
      <c r="F13" s="2">
        <v>135.5625</v>
      </c>
      <c r="G13" s="2">
        <v>134.2911</v>
      </c>
      <c r="H13" s="2">
        <v>133.446</v>
      </c>
      <c r="I13" s="2">
        <v>133.5849</v>
      </c>
      <c r="J13" s="2">
        <v>133.92830000000001</v>
      </c>
      <c r="K13" s="2">
        <v>135.19300000000001</v>
      </c>
      <c r="L13" s="2">
        <v>133.80889999999999</v>
      </c>
      <c r="M13">
        <f>AVERAGE(C13:L13)</f>
        <v>134.52219000000002</v>
      </c>
      <c r="N13">
        <f>_xlfn.STDEV.S(BenchmarkTable[[#This Row],[Rep 1]:[Promedio (s)]])</f>
        <v>0.75902767070773092</v>
      </c>
      <c r="O13">
        <f>MIN(C13:L13)</f>
        <v>133.446</v>
      </c>
      <c r="P13">
        <f>MAX(C13:L13)</f>
        <v>135.5625</v>
      </c>
      <c r="Q13">
        <f>M13</f>
        <v>134.52219000000002</v>
      </c>
      <c r="R13">
        <f>IFERROR(Q13/M13,"")</f>
        <v>1</v>
      </c>
      <c r="T13" t="str">
        <f>IFERROR(R13/S13,"")</f>
        <v/>
      </c>
    </row>
    <row r="14" spans="1:20" x14ac:dyDescent="0.25">
      <c r="A14" t="s">
        <v>22</v>
      </c>
      <c r="B14" t="s">
        <v>26</v>
      </c>
      <c r="C14" s="2">
        <v>0.3639</v>
      </c>
      <c r="D14" s="2">
        <v>0.30409999999999998</v>
      </c>
      <c r="E14" s="2">
        <v>0.31530000000000002</v>
      </c>
      <c r="F14" s="2">
        <v>0.30719999999999997</v>
      </c>
      <c r="G14" s="2">
        <v>0.26319999999999999</v>
      </c>
      <c r="H14" s="2">
        <v>0.27229999999999999</v>
      </c>
      <c r="I14" s="2">
        <v>0.26469999999999999</v>
      </c>
      <c r="J14" s="2">
        <v>0.27329999999999999</v>
      </c>
      <c r="K14" s="2">
        <v>0.25069999999999998</v>
      </c>
      <c r="L14" s="2">
        <v>0.2681</v>
      </c>
      <c r="M14">
        <f>AVERAGE(C14:L14)</f>
        <v>0.28827999999999998</v>
      </c>
      <c r="N14">
        <f>_xlfn.STDEV.S(BenchmarkTable[[#This Row],[Rep 1]:[Promedio (s)]])</f>
        <v>3.2466869266992833E-2</v>
      </c>
      <c r="O14">
        <f>MIN(C14:L14)</f>
        <v>0.25069999999999998</v>
      </c>
      <c r="P14">
        <f>MAX(C14:L14)</f>
        <v>0.3639</v>
      </c>
      <c r="Q14">
        <f>M13</f>
        <v>134.52219000000002</v>
      </c>
      <c r="R14">
        <f>IFERROR(Q14/M14,"")</f>
        <v>466.63726238379365</v>
      </c>
      <c r="T14" t="str">
        <f>IFERROR(R14/S14,"")</f>
        <v/>
      </c>
    </row>
    <row r="15" spans="1:20" x14ac:dyDescent="0.25">
      <c r="A15" t="s">
        <v>23</v>
      </c>
      <c r="B15" t="s">
        <v>26</v>
      </c>
      <c r="C15" s="2">
        <v>19.2925</v>
      </c>
      <c r="D15" s="2">
        <v>18.978300000000001</v>
      </c>
      <c r="E15" s="2">
        <v>19.3202</v>
      </c>
      <c r="F15" s="2">
        <v>18.910499999999999</v>
      </c>
      <c r="G15" s="2">
        <v>19.1464</v>
      </c>
      <c r="H15" s="2">
        <v>19.418600000000001</v>
      </c>
      <c r="I15" s="2">
        <v>19.092400000000001</v>
      </c>
      <c r="J15" s="2">
        <v>19.247800000000002</v>
      </c>
      <c r="K15" s="2">
        <v>19.2288</v>
      </c>
      <c r="L15" s="2">
        <v>18.879100000000001</v>
      </c>
      <c r="M15">
        <f>AVERAGE(C15:L15)</f>
        <v>19.15146</v>
      </c>
      <c r="N15">
        <f>_xlfn.STDEV.S(BenchmarkTable[[#This Row],[Rep 1]:[Promedio (s)]])</f>
        <v>0.17341622876766769</v>
      </c>
      <c r="O15">
        <f>MIN(C15:L15)</f>
        <v>18.879100000000001</v>
      </c>
      <c r="P15">
        <f>MAX(C15:L15)</f>
        <v>19.418600000000001</v>
      </c>
      <c r="Q15">
        <f>M13</f>
        <v>134.52219000000002</v>
      </c>
      <c r="R15">
        <f>IFERROR(Q15/M15,"")</f>
        <v>7.024121920730849</v>
      </c>
      <c r="S15">
        <v>6</v>
      </c>
      <c r="T15">
        <f>IFERROR(R15/S15,"")</f>
        <v>1.1706869867884748</v>
      </c>
    </row>
    <row r="16" spans="1:20" x14ac:dyDescent="0.25">
      <c r="A16" t="s">
        <v>24</v>
      </c>
      <c r="B16" t="s">
        <v>26</v>
      </c>
      <c r="C16" s="2">
        <v>11.781599999999999</v>
      </c>
      <c r="D16" s="2">
        <v>11.973599999999999</v>
      </c>
      <c r="E16" s="2">
        <v>11.3941</v>
      </c>
      <c r="F16" s="2">
        <v>13.6982</v>
      </c>
      <c r="G16" s="2">
        <v>13.9497</v>
      </c>
      <c r="H16" s="2">
        <v>13.5623</v>
      </c>
      <c r="I16" s="2">
        <v>11.6541</v>
      </c>
      <c r="J16" s="2">
        <v>11.615</v>
      </c>
      <c r="K16" s="2">
        <v>13.345800000000001</v>
      </c>
      <c r="L16" s="2">
        <v>13.920299999999999</v>
      </c>
      <c r="M16">
        <f>AVERAGE(C16:L16)</f>
        <v>12.689469999999998</v>
      </c>
      <c r="N16">
        <f>_xlfn.STDEV.S(BenchmarkTable[[#This Row],[Rep 1]:[Promedio (s)]])</f>
        <v>1.0273469560474691</v>
      </c>
      <c r="O16">
        <f>MIN(C16:L16)</f>
        <v>11.3941</v>
      </c>
      <c r="P16">
        <f>MAX(C16:L16)</f>
        <v>13.9497</v>
      </c>
      <c r="Q16">
        <f>M13</f>
        <v>134.52219000000002</v>
      </c>
      <c r="R16">
        <f>IFERROR(Q16/M16,"")</f>
        <v>10.601088146313442</v>
      </c>
      <c r="T16" t="str">
        <f>IFERROR(R16/S16,"")</f>
        <v/>
      </c>
    </row>
    <row r="17" spans="1:20" x14ac:dyDescent="0.25">
      <c r="A17" t="s">
        <v>45</v>
      </c>
      <c r="B17" t="s">
        <v>26</v>
      </c>
      <c r="C17">
        <v>40.53</v>
      </c>
      <c r="D17">
        <v>41.853999999999999</v>
      </c>
      <c r="E17">
        <v>40.909999999999997</v>
      </c>
      <c r="F17">
        <v>42.03</v>
      </c>
      <c r="G17">
        <v>41.4</v>
      </c>
      <c r="H17">
        <v>40.21</v>
      </c>
      <c r="I17">
        <v>41.14</v>
      </c>
      <c r="J17">
        <v>42.44</v>
      </c>
      <c r="K17">
        <v>40.61</v>
      </c>
      <c r="L17">
        <v>41.02</v>
      </c>
      <c r="M17">
        <f t="shared" ref="M17" si="9">AVERAGE(C17:L17)</f>
        <v>41.214399999999998</v>
      </c>
      <c r="N17">
        <f>_xlfn.STDEV.S(BenchmarkTable[[#This Row],[Rep 1]:[Promedio (s)]])</f>
        <v>0.67744685400406079</v>
      </c>
      <c r="O17">
        <f t="shared" ref="O17" si="10">MIN(C17:L17)</f>
        <v>40.21</v>
      </c>
      <c r="P17">
        <f t="shared" ref="P17" si="11">MAX(C17:L17)</f>
        <v>42.44</v>
      </c>
      <c r="Q17">
        <f>M13</f>
        <v>134.52219000000002</v>
      </c>
      <c r="R17">
        <f t="shared" ref="R17" si="12">IFERROR(Q17/M17,"")</f>
        <v>3.2639608971621579</v>
      </c>
      <c r="T17" t="str">
        <f t="shared" ref="T17" si="13">IFERROR(R17/S17,"")</f>
        <v/>
      </c>
    </row>
    <row r="20" spans="1:20" x14ac:dyDescent="0.25">
      <c r="A20" s="11" t="s">
        <v>48</v>
      </c>
      <c r="B20" s="12"/>
      <c r="C20" s="12"/>
      <c r="D20" s="12"/>
      <c r="F20" s="11" t="s">
        <v>55</v>
      </c>
      <c r="G20" s="12"/>
      <c r="H20" s="12"/>
      <c r="I20" s="12"/>
      <c r="J20" s="12"/>
    </row>
    <row r="21" spans="1:20" x14ac:dyDescent="0.25">
      <c r="A21" s="3" t="s">
        <v>0</v>
      </c>
      <c r="B21" s="3" t="s">
        <v>1</v>
      </c>
      <c r="C21" s="3" t="s">
        <v>49</v>
      </c>
      <c r="D21" s="3" t="s">
        <v>17</v>
      </c>
      <c r="F21" s="3" t="s">
        <v>0</v>
      </c>
      <c r="G21" s="3" t="s">
        <v>51</v>
      </c>
      <c r="H21" s="3" t="s">
        <v>52</v>
      </c>
      <c r="I21" s="3" t="s">
        <v>53</v>
      </c>
      <c r="J21" s="3" t="s">
        <v>54</v>
      </c>
    </row>
    <row r="22" spans="1:20" x14ac:dyDescent="0.25">
      <c r="A22" s="5" t="s">
        <v>34</v>
      </c>
      <c r="B22" s="5" t="s">
        <v>21</v>
      </c>
      <c r="C22" s="7">
        <v>34.920999999999999</v>
      </c>
      <c r="D22" s="7">
        <f>IFERROR(C22/C22,"")</f>
        <v>1</v>
      </c>
      <c r="F22" s="5" t="s">
        <v>34</v>
      </c>
      <c r="G22" s="7">
        <v>94.712800000000001</v>
      </c>
      <c r="H22" s="7">
        <v>190.83959999999999</v>
      </c>
      <c r="I22" s="7">
        <v>941.89610000000005</v>
      </c>
      <c r="J22" s="7">
        <v>1491.5953</v>
      </c>
    </row>
    <row r="23" spans="1:20" x14ac:dyDescent="0.25">
      <c r="A23" s="4" t="s">
        <v>22</v>
      </c>
      <c r="B23" s="4" t="s">
        <v>21</v>
      </c>
      <c r="C23" s="8">
        <v>4.36E-2</v>
      </c>
      <c r="D23" s="8">
        <f>IFERROR(C22/C23,"")</f>
        <v>800.94036697247702</v>
      </c>
      <c r="F23" s="4" t="s">
        <v>22</v>
      </c>
      <c r="G23" s="8">
        <v>0.1978</v>
      </c>
      <c r="H23" s="8">
        <v>0.52070000000000005</v>
      </c>
      <c r="I23" s="8">
        <v>2.2143000000000002</v>
      </c>
      <c r="J23" s="8">
        <v>3.1835</v>
      </c>
    </row>
    <row r="24" spans="1:20" x14ac:dyDescent="0.25">
      <c r="A24" s="5" t="s">
        <v>23</v>
      </c>
      <c r="B24" s="5" t="s">
        <v>21</v>
      </c>
      <c r="C24" s="7">
        <v>4.8599999999999997E-2</v>
      </c>
      <c r="D24" s="7">
        <f>IFERROR(C22/C24,"")</f>
        <v>718.53909465020581</v>
      </c>
      <c r="F24" s="5" t="s">
        <v>23</v>
      </c>
      <c r="G24" s="7">
        <v>20.008400000000002</v>
      </c>
      <c r="H24" s="7">
        <v>39.736600000000003</v>
      </c>
      <c r="I24" s="7">
        <v>203.23910000000001</v>
      </c>
      <c r="J24" s="7">
        <v>314.22109999999998</v>
      </c>
    </row>
    <row r="25" spans="1:20" x14ac:dyDescent="0.25">
      <c r="A25" s="4" t="s">
        <v>24</v>
      </c>
      <c r="B25" s="4" t="s">
        <v>21</v>
      </c>
      <c r="C25" s="8">
        <v>0.11559999999999999</v>
      </c>
      <c r="D25" s="8">
        <f>IFERROR(C22/C25,"")</f>
        <v>302.0847750865052</v>
      </c>
      <c r="F25" s="4" t="s">
        <v>24</v>
      </c>
      <c r="G25" s="8">
        <v>2.4047999999999998</v>
      </c>
      <c r="H25" s="8">
        <v>3.2244999999999999</v>
      </c>
      <c r="I25" s="8">
        <v>13.637700000000001</v>
      </c>
      <c r="J25" s="8">
        <v>19.771599999999999</v>
      </c>
    </row>
    <row r="26" spans="1:20" x14ac:dyDescent="0.25">
      <c r="A26" s="5" t="s">
        <v>45</v>
      </c>
      <c r="B26" s="5" t="s">
        <v>21</v>
      </c>
      <c r="C26" s="7">
        <v>4.5210999999999997</v>
      </c>
      <c r="D26" s="7">
        <f>IFERROR(C22/C26,"")</f>
        <v>7.7240052199685918</v>
      </c>
      <c r="F26" s="5" t="s">
        <v>45</v>
      </c>
      <c r="G26" s="6">
        <v>28.4453</v>
      </c>
      <c r="H26" s="6">
        <v>56.511299999999999</v>
      </c>
      <c r="I26" s="6">
        <v>278.31009999999998</v>
      </c>
      <c r="J26" s="6">
        <v>440.82389999999998</v>
      </c>
    </row>
    <row r="27" spans="1:20" x14ac:dyDescent="0.25">
      <c r="A27" s="4" t="s">
        <v>20</v>
      </c>
      <c r="B27" s="4" t="s">
        <v>25</v>
      </c>
      <c r="C27" s="8">
        <v>38.875100000000003</v>
      </c>
      <c r="D27" s="8">
        <f>IFERROR(C27/C27,"")</f>
        <v>1</v>
      </c>
    </row>
    <row r="28" spans="1:20" x14ac:dyDescent="0.25">
      <c r="A28" s="5" t="s">
        <v>22</v>
      </c>
      <c r="B28" s="5" t="s">
        <v>25</v>
      </c>
      <c r="C28" s="7">
        <v>6.4399999999999999E-2</v>
      </c>
      <c r="D28" s="7">
        <f>IFERROR(C27/C28,"")</f>
        <v>603.65062111801251</v>
      </c>
    </row>
    <row r="29" spans="1:20" x14ac:dyDescent="0.25">
      <c r="A29" s="4" t="s">
        <v>23</v>
      </c>
      <c r="B29" s="4" t="s">
        <v>25</v>
      </c>
      <c r="C29" s="8">
        <v>7.7088000000000001</v>
      </c>
      <c r="D29" s="8">
        <f>IFERROR(C27/C29,"")</f>
        <v>5.0429509132420094</v>
      </c>
      <c r="F29" s="9" t="s">
        <v>46</v>
      </c>
      <c r="G29" s="10"/>
      <c r="I29" s="9" t="s">
        <v>47</v>
      </c>
      <c r="J29" s="10"/>
    </row>
    <row r="30" spans="1:20" x14ac:dyDescent="0.25">
      <c r="A30" s="5" t="s">
        <v>24</v>
      </c>
      <c r="B30" s="5" t="s">
        <v>25</v>
      </c>
      <c r="C30" s="7">
        <v>0.31790000000000002</v>
      </c>
      <c r="D30" s="7">
        <f>IFERROR(C27/C30,"")</f>
        <v>122.28719723183391</v>
      </c>
      <c r="F30" s="3" t="s">
        <v>0</v>
      </c>
      <c r="G30" s="3" t="s">
        <v>2</v>
      </c>
      <c r="I30" s="3" t="s">
        <v>0</v>
      </c>
      <c r="J30" s="3" t="s">
        <v>2</v>
      </c>
    </row>
    <row r="31" spans="1:20" x14ac:dyDescent="0.25">
      <c r="A31" s="4" t="s">
        <v>45</v>
      </c>
      <c r="B31" s="4" t="s">
        <v>25</v>
      </c>
      <c r="C31" s="8">
        <v>12.2097</v>
      </c>
      <c r="D31" s="8">
        <f>IFERROR(C27/C31,"")</f>
        <v>3.1839521036552907</v>
      </c>
      <c r="F31" s="5" t="s">
        <v>34</v>
      </c>
      <c r="G31" s="5" t="s">
        <v>39</v>
      </c>
      <c r="I31" s="5" t="s">
        <v>34</v>
      </c>
      <c r="J31" s="5" t="s">
        <v>40</v>
      </c>
    </row>
    <row r="32" spans="1:20" x14ac:dyDescent="0.25">
      <c r="A32" s="5" t="s">
        <v>20</v>
      </c>
      <c r="B32" s="5" t="s">
        <v>26</v>
      </c>
      <c r="C32" s="7">
        <v>94.712800000000001</v>
      </c>
      <c r="D32" s="7">
        <f t="shared" ref="D32" si="14">IFERROR(C32/C32,"")</f>
        <v>1</v>
      </c>
      <c r="F32" s="4" t="s">
        <v>22</v>
      </c>
      <c r="G32" t="s">
        <v>35</v>
      </c>
      <c r="I32" s="4" t="s">
        <v>22</v>
      </c>
      <c r="J32" t="s">
        <v>41</v>
      </c>
    </row>
    <row r="33" spans="1:11" x14ac:dyDescent="0.25">
      <c r="A33" s="4" t="s">
        <v>22</v>
      </c>
      <c r="B33" s="4" t="s">
        <v>26</v>
      </c>
      <c r="C33" s="8">
        <v>0.1978</v>
      </c>
      <c r="D33" s="8">
        <f>IFERROR(C32/C33,"")</f>
        <v>478.83114256825075</v>
      </c>
      <c r="F33" s="5" t="s">
        <v>23</v>
      </c>
      <c r="G33" s="5" t="s">
        <v>36</v>
      </c>
      <c r="I33" s="5" t="s">
        <v>23</v>
      </c>
      <c r="J33" s="5" t="s">
        <v>42</v>
      </c>
    </row>
    <row r="34" spans="1:11" x14ac:dyDescent="0.25">
      <c r="A34" s="5" t="s">
        <v>23</v>
      </c>
      <c r="B34" s="5" t="s">
        <v>26</v>
      </c>
      <c r="C34" s="7">
        <v>20.008400000000002</v>
      </c>
      <c r="D34" s="7">
        <f>IFERROR(C32/C34,"")</f>
        <v>4.7336518662161886</v>
      </c>
      <c r="F34" s="4" t="s">
        <v>24</v>
      </c>
      <c r="G34" t="s">
        <v>37</v>
      </c>
      <c r="I34" s="4" t="s">
        <v>24</v>
      </c>
      <c r="J34" t="s">
        <v>43</v>
      </c>
    </row>
    <row r="35" spans="1:11" x14ac:dyDescent="0.25">
      <c r="A35" s="4" t="s">
        <v>24</v>
      </c>
      <c r="B35" s="4" t="s">
        <v>26</v>
      </c>
      <c r="C35" s="8">
        <v>2.4047999999999998</v>
      </c>
      <c r="D35" s="8">
        <f>IFERROR(C32/C35,"")</f>
        <v>39.384896872920827</v>
      </c>
      <c r="F35" s="5" t="s">
        <v>45</v>
      </c>
      <c r="G35" s="5" t="s">
        <v>38</v>
      </c>
      <c r="I35" s="5" t="s">
        <v>45</v>
      </c>
      <c r="J35" s="5" t="s">
        <v>44</v>
      </c>
    </row>
    <row r="36" spans="1:11" x14ac:dyDescent="0.25">
      <c r="A36" s="5" t="s">
        <v>45</v>
      </c>
      <c r="B36" s="5" t="s">
        <v>26</v>
      </c>
      <c r="C36" s="6">
        <v>28.4453</v>
      </c>
      <c r="D36" s="6">
        <f>IFERROR(C32/C36,"")</f>
        <v>3.3296467254695856</v>
      </c>
      <c r="K36" s="14"/>
    </row>
  </sheetData>
  <mergeCells count="5">
    <mergeCell ref="F29:G29"/>
    <mergeCell ref="I29:J29"/>
    <mergeCell ref="A20:D20"/>
    <mergeCell ref="A1:T1"/>
    <mergeCell ref="F20:J20"/>
  </mergeCells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27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Benchmark CNN HPC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mardones domcke</cp:lastModifiedBy>
  <dcterms:created xsi:type="dcterms:W3CDTF">2026-05-29T15:37:17Z</dcterms:created>
  <dcterms:modified xsi:type="dcterms:W3CDTF">2026-07-01T22:56:35Z</dcterms:modified>
</cp:coreProperties>
</file>