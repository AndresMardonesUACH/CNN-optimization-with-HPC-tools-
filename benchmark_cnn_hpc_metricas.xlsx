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dym\CLASES\SEMESTRE 9\COMPUTACION DE ALTO RENDIMIENTO\CNN-optimization-with-HPC-tools-\"/>
    </mc:Choice>
  </mc:AlternateContent>
  <xr:revisionPtr revIDLastSave="0" documentId="13_ncr:1_{F39FA1A4-C90E-4B0A-A4ED-1A041E2031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enchmark CNN HPC" sheetId="1" r:id="rId1"/>
    <sheet name="Instrucciones" sheetId="2" r:id="rId2"/>
  </sheets>
  <calcPr calcId="191029"/>
</workbook>
</file>

<file path=xl/calcChain.xml><?xml version="1.0" encoding="utf-8"?>
<calcChain xmlns="http://schemas.openxmlformats.org/spreadsheetml/2006/main">
  <c r="P23" i="1" l="1"/>
  <c r="O23" i="1"/>
  <c r="N23" i="1"/>
  <c r="M23" i="1"/>
  <c r="P22" i="1"/>
  <c r="O22" i="1"/>
  <c r="N22" i="1"/>
  <c r="M22" i="1"/>
  <c r="P21" i="1"/>
  <c r="O21" i="1"/>
  <c r="N21" i="1"/>
  <c r="M21" i="1"/>
  <c r="P20" i="1"/>
  <c r="O20" i="1"/>
  <c r="N20" i="1"/>
  <c r="M20" i="1"/>
  <c r="Q23" i="1" s="1"/>
  <c r="N2" i="1"/>
  <c r="N3" i="1"/>
  <c r="N4" i="1"/>
  <c r="N5" i="1"/>
  <c r="N6" i="1"/>
  <c r="N7" i="1"/>
  <c r="N8" i="1"/>
  <c r="N9" i="1"/>
  <c r="N10" i="1"/>
  <c r="N11" i="1"/>
  <c r="N12" i="1"/>
  <c r="N13" i="1"/>
  <c r="P13" i="1"/>
  <c r="O13" i="1"/>
  <c r="M13" i="1"/>
  <c r="P12" i="1"/>
  <c r="O12" i="1"/>
  <c r="M12" i="1"/>
  <c r="P11" i="1"/>
  <c r="O11" i="1"/>
  <c r="M11" i="1"/>
  <c r="P10" i="1"/>
  <c r="O10" i="1"/>
  <c r="M10" i="1"/>
  <c r="Q13" i="1" s="1"/>
  <c r="P9" i="1"/>
  <c r="O9" i="1"/>
  <c r="M9" i="1"/>
  <c r="P8" i="1"/>
  <c r="O8" i="1"/>
  <c r="M8" i="1"/>
  <c r="P7" i="1"/>
  <c r="O7" i="1"/>
  <c r="M7" i="1"/>
  <c r="P6" i="1"/>
  <c r="O6" i="1"/>
  <c r="M6" i="1"/>
  <c r="Q8" i="1" s="1"/>
  <c r="P5" i="1"/>
  <c r="O5" i="1"/>
  <c r="M5" i="1"/>
  <c r="P4" i="1"/>
  <c r="O4" i="1"/>
  <c r="M4" i="1"/>
  <c r="P3" i="1"/>
  <c r="O3" i="1"/>
  <c r="M3" i="1"/>
  <c r="P2" i="1"/>
  <c r="O2" i="1"/>
  <c r="M2" i="1"/>
  <c r="Q5" i="1" s="1"/>
  <c r="R23" i="1" l="1"/>
  <c r="T23" i="1" s="1"/>
  <c r="Q20" i="1"/>
  <c r="R20" i="1" s="1"/>
  <c r="T20" i="1" s="1"/>
  <c r="Q22" i="1"/>
  <c r="R22" i="1" s="1"/>
  <c r="T22" i="1" s="1"/>
  <c r="Q21" i="1"/>
  <c r="R21" i="1" s="1"/>
  <c r="T21" i="1" s="1"/>
  <c r="Q3" i="1"/>
  <c r="R3" i="1" s="1"/>
  <c r="T3" i="1" s="1"/>
  <c r="R5" i="1"/>
  <c r="T5" i="1" s="1"/>
  <c r="Q4" i="1"/>
  <c r="R4" i="1" s="1"/>
  <c r="T4" i="1" s="1"/>
  <c r="R8" i="1"/>
  <c r="T8" i="1" s="1"/>
  <c r="Q7" i="1"/>
  <c r="R7" i="1" s="1"/>
  <c r="T7" i="1" s="1"/>
  <c r="R13" i="1"/>
  <c r="T13" i="1" s="1"/>
  <c r="Q11" i="1"/>
  <c r="R11" i="1" s="1"/>
  <c r="T11" i="1" s="1"/>
  <c r="Q2" i="1"/>
  <c r="R2" i="1" s="1"/>
  <c r="T2" i="1" s="1"/>
  <c r="Q10" i="1"/>
  <c r="R10" i="1" s="1"/>
  <c r="T10" i="1" s="1"/>
  <c r="Q9" i="1"/>
  <c r="R9" i="1" s="1"/>
  <c r="T9" i="1" s="1"/>
  <c r="Q12" i="1"/>
  <c r="R12" i="1" s="1"/>
  <c r="T12" i="1" s="1"/>
  <c r="Q6" i="1"/>
  <c r="R6" i="1" s="1"/>
  <c r="T6" i="1" s="1"/>
</calcChain>
</file>

<file path=xl/sharedStrings.xml><?xml version="1.0" encoding="utf-8"?>
<sst xmlns="http://schemas.openxmlformats.org/spreadsheetml/2006/main" count="59" uniqueCount="35">
  <si>
    <t>Version</t>
  </si>
  <si>
    <t>Benchmark</t>
  </si>
  <si>
    <t>Rep 1</t>
  </si>
  <si>
    <t>Rep 2</t>
  </si>
  <si>
    <t>Rep 3</t>
  </si>
  <si>
    <t>Rep 4</t>
  </si>
  <si>
    <t>Rep 5</t>
  </si>
  <si>
    <t>Rep 6</t>
  </si>
  <si>
    <t>Rep 7</t>
  </si>
  <si>
    <t>Rep 8</t>
  </si>
  <si>
    <t>Rep 9</t>
  </si>
  <si>
    <t>Rep 10</t>
  </si>
  <si>
    <t>Promedio (s)</t>
  </si>
  <si>
    <t>Std (s)</t>
  </si>
  <si>
    <t>Min (s)</t>
  </si>
  <si>
    <t>Max (s)</t>
  </si>
  <si>
    <t>Baseline Python (s)</t>
  </si>
  <si>
    <t>Speedup</t>
  </si>
  <si>
    <t>Threads</t>
  </si>
  <si>
    <t>Eficiencia</t>
  </si>
  <si>
    <t>Python</t>
  </si>
  <si>
    <t>Conv forward</t>
  </si>
  <si>
    <t>NumPy</t>
  </si>
  <si>
    <t>Cython CPU</t>
  </si>
  <si>
    <t>JAX GPU</t>
  </si>
  <si>
    <t>Forward red</t>
  </si>
  <si>
    <t>Train completo</t>
  </si>
  <si>
    <t>Uso:</t>
  </si>
  <si>
    <t>1) Ingresa 10 tiempos por fila (Rep 1–Rep 10).</t>
  </si>
  <si>
    <t>2) Baseline Python se calcula automáticamente por benchmark.</t>
  </si>
  <si>
    <t>3) Speedup = baseline Python / promedio.</t>
  </si>
  <si>
    <t>4) Threads: llena solo Cython CPU (ej. 8).</t>
  </si>
  <si>
    <t>5) Eficiencia = Speedup / Threads.</t>
  </si>
  <si>
    <t>6) En JAX usa warmup antes de medir y block_until_ready al final.</t>
  </si>
  <si>
    <t xml:space="preserve">Python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</si>
</sst>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DDDD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2" xfId="0" applyFill="1" applyBorder="1"/>
    <xf numFmtId="0" fontId="0" fillId="3" borderId="3" xfId="0" applyFill="1" applyBorder="1"/>
    <xf numFmtId="0" fontId="0" fillId="0" borderId="3" xfId="0" applyBorder="1"/>
    <xf numFmtId="0" fontId="0" fillId="3" borderId="4" xfId="0" applyFill="1" applyBorder="1"/>
    <xf numFmtId="0" fontId="0" fillId="0" borderId="4" xfId="0" applyBorder="1"/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2" fontId="0" fillId="3" borderId="3" xfId="0" applyNumberFormat="1" applyFill="1" applyBorder="1"/>
    <xf numFmtId="2" fontId="0" fillId="0" borderId="3" xfId="0" applyNumberFormat="1" applyBorder="1"/>
  </cellXfs>
  <cellStyles count="1">
    <cellStyle name="Normal" xfId="0" builtinId="0"/>
  </cellStyles>
  <dxfs count="11"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enchmarkTable" displayName="BenchmarkTable" ref="A1:T13">
  <autoFilter ref="A1:T13" xr:uid="{00000000-0009-0000-0100-000001000000}"/>
  <tableColumns count="20">
    <tableColumn id="1" xr3:uid="{00000000-0010-0000-0000-000001000000}" name="Version"/>
    <tableColumn id="2" xr3:uid="{00000000-0010-0000-0000-000002000000}" name="Benchmark"/>
    <tableColumn id="3" xr3:uid="{00000000-0010-0000-0000-000003000000}" name="Rep 1" dataDxfId="10"/>
    <tableColumn id="4" xr3:uid="{00000000-0010-0000-0000-000004000000}" name="Rep 2" dataDxfId="9"/>
    <tableColumn id="5" xr3:uid="{00000000-0010-0000-0000-000005000000}" name="Rep 3" dataDxfId="8"/>
    <tableColumn id="6" xr3:uid="{00000000-0010-0000-0000-000006000000}" name="Rep 4" dataDxfId="7"/>
    <tableColumn id="7" xr3:uid="{00000000-0010-0000-0000-000007000000}" name="Rep 5" dataDxfId="6"/>
    <tableColumn id="8" xr3:uid="{00000000-0010-0000-0000-000008000000}" name="Rep 6" dataDxfId="5"/>
    <tableColumn id="9" xr3:uid="{00000000-0010-0000-0000-000009000000}" name="Rep 7" dataDxfId="4"/>
    <tableColumn id="10" xr3:uid="{00000000-0010-0000-0000-00000A000000}" name="Rep 8" dataDxfId="3"/>
    <tableColumn id="11" xr3:uid="{00000000-0010-0000-0000-00000B000000}" name="Rep 9" dataDxfId="2"/>
    <tableColumn id="12" xr3:uid="{00000000-0010-0000-0000-00000C000000}" name="Rep 10" dataDxfId="1"/>
    <tableColumn id="13" xr3:uid="{00000000-0010-0000-0000-00000D000000}" name="Promedio (s)"/>
    <tableColumn id="14" xr3:uid="{00000000-0010-0000-0000-00000E000000}" name="Std (s)" dataDxfId="0">
      <calculatedColumnFormula>_xlfn.STDEV.S(BenchmarkTable[[#This Row],[Rep 1]:[Promedio (s)]])</calculatedColumnFormula>
    </tableColumn>
    <tableColumn id="15" xr3:uid="{00000000-0010-0000-0000-00000F000000}" name="Min (s)"/>
    <tableColumn id="16" xr3:uid="{00000000-0010-0000-0000-000010000000}" name="Max (s)"/>
    <tableColumn id="17" xr3:uid="{00000000-0010-0000-0000-000011000000}" name="Baseline Python (s)"/>
    <tableColumn id="18" xr3:uid="{00000000-0010-0000-0000-000012000000}" name="Speedup"/>
    <tableColumn id="19" xr3:uid="{00000000-0010-0000-0000-000013000000}" name="Threads"/>
    <tableColumn id="20" xr3:uid="{00000000-0010-0000-0000-000014000000}" name="Efici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3"/>
  <sheetViews>
    <sheetView tabSelected="1" topLeftCell="B1" zoomScaleNormal="100" workbookViewId="0">
      <selection activeCell="K27" sqref="K27"/>
    </sheetView>
  </sheetViews>
  <sheetFormatPr baseColWidth="10" defaultColWidth="9.140625" defaultRowHeight="15" x14ac:dyDescent="0.25"/>
  <cols>
    <col min="1" max="20" width="14" customWidth="1"/>
  </cols>
  <sheetData>
    <row r="1" spans="1:20" x14ac:dyDescent="0.25">
      <c r="A1" s="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t="s">
        <v>34</v>
      </c>
      <c r="B2" t="s">
        <v>21</v>
      </c>
      <c r="C2" s="7">
        <v>52.7759</v>
      </c>
      <c r="D2" s="7">
        <v>53.934399999999997</v>
      </c>
      <c r="E2" s="7">
        <v>52.967799999999997</v>
      </c>
      <c r="F2" s="7">
        <v>52.572000000000003</v>
      </c>
      <c r="G2" s="7">
        <v>52.821599999999997</v>
      </c>
      <c r="H2" s="7">
        <v>53.421300000000002</v>
      </c>
      <c r="I2" s="7">
        <v>53.253599999999999</v>
      </c>
      <c r="J2" s="7">
        <v>52.9193</v>
      </c>
      <c r="K2" s="7">
        <v>54.165599999999998</v>
      </c>
      <c r="L2" s="7">
        <v>52.722099999999998</v>
      </c>
      <c r="M2">
        <f t="shared" ref="M2:M13" si="0">AVERAGE(C2:L2)</f>
        <v>53.155359999999995</v>
      </c>
      <c r="N2">
        <f>_xlfn.STDEV.S(BenchmarkTable[[#This Row],[Rep 1]:[Promedio (s)]])</f>
        <v>0.50815107832218498</v>
      </c>
      <c r="O2">
        <f t="shared" ref="O2:O13" si="1">MIN(C2:L2)</f>
        <v>52.572000000000003</v>
      </c>
      <c r="P2">
        <f t="shared" ref="P2:P13" si="2">MAX(C2:L2)</f>
        <v>54.165599999999998</v>
      </c>
      <c r="Q2">
        <f>M2</f>
        <v>53.155359999999995</v>
      </c>
      <c r="R2">
        <f t="shared" ref="R2:R13" si="3">IFERROR(Q2/M2,"")</f>
        <v>1</v>
      </c>
      <c r="T2" t="str">
        <f t="shared" ref="T2:T13" si="4">IFERROR(R2/S2,"")</f>
        <v/>
      </c>
    </row>
    <row r="3" spans="1:20" x14ac:dyDescent="0.25">
      <c r="A3" t="s">
        <v>22</v>
      </c>
      <c r="B3" t="s">
        <v>21</v>
      </c>
      <c r="C3" s="7">
        <v>7.3099999999999998E-2</v>
      </c>
      <c r="D3" s="7">
        <v>4.3700000000000003E-2</v>
      </c>
      <c r="E3" s="7">
        <v>4.7500000000000001E-2</v>
      </c>
      <c r="F3" s="7">
        <v>4.2999999999999997E-2</v>
      </c>
      <c r="G3" s="7">
        <v>4.9299999999999997E-2</v>
      </c>
      <c r="H3" s="7">
        <v>4.0599999999999997E-2</v>
      </c>
      <c r="I3" s="7">
        <v>6.8699999999999997E-2</v>
      </c>
      <c r="J3" s="7">
        <v>4.1000000000000002E-2</v>
      </c>
      <c r="K3" s="7">
        <v>4.02E-2</v>
      </c>
      <c r="L3" s="7">
        <v>5.9900000000000002E-2</v>
      </c>
      <c r="M3">
        <f t="shared" si="0"/>
        <v>5.0700000000000002E-2</v>
      </c>
      <c r="N3">
        <f>_xlfn.STDEV.S(BenchmarkTable[[#This Row],[Rep 1]:[Promedio (s)]])</f>
        <v>1.1563909373563941E-2</v>
      </c>
      <c r="O3">
        <f t="shared" si="1"/>
        <v>4.02E-2</v>
      </c>
      <c r="P3">
        <f t="shared" si="2"/>
        <v>7.3099999999999998E-2</v>
      </c>
      <c r="Q3">
        <f>M2</f>
        <v>53.155359999999995</v>
      </c>
      <c r="R3">
        <f t="shared" si="3"/>
        <v>1048.4291913214988</v>
      </c>
      <c r="T3" t="str">
        <f t="shared" si="4"/>
        <v/>
      </c>
    </row>
    <row r="4" spans="1:20" x14ac:dyDescent="0.25">
      <c r="A4" t="s">
        <v>23</v>
      </c>
      <c r="B4" t="s">
        <v>21</v>
      </c>
      <c r="C4" s="7">
        <v>0.14660000000000001</v>
      </c>
      <c r="D4" s="7">
        <v>0.1188</v>
      </c>
      <c r="E4" s="7">
        <v>0.12959999999999999</v>
      </c>
      <c r="F4" s="7">
        <v>0.1182</v>
      </c>
      <c r="G4" s="7">
        <v>0.1255</v>
      </c>
      <c r="H4" s="7">
        <v>0.17119999999999999</v>
      </c>
      <c r="I4" s="7">
        <v>0.14430000000000001</v>
      </c>
      <c r="J4" s="7">
        <v>0.13489999999999999</v>
      </c>
      <c r="K4" s="7">
        <v>0.12280000000000001</v>
      </c>
      <c r="L4" s="7">
        <v>0.14849999999999999</v>
      </c>
      <c r="M4">
        <f t="shared" si="0"/>
        <v>0.13603999999999999</v>
      </c>
      <c r="N4">
        <f>_xlfn.STDEV.S(BenchmarkTable[[#This Row],[Rep 1]:[Promedio (s)]])</f>
        <v>1.5861475341215833E-2</v>
      </c>
      <c r="O4">
        <f t="shared" si="1"/>
        <v>0.1182</v>
      </c>
      <c r="P4">
        <f t="shared" si="2"/>
        <v>0.17119999999999999</v>
      </c>
      <c r="Q4">
        <f>M2</f>
        <v>53.155359999999995</v>
      </c>
      <c r="R4">
        <f t="shared" si="3"/>
        <v>390.73331373125546</v>
      </c>
      <c r="S4">
        <v>6</v>
      </c>
      <c r="T4">
        <f t="shared" si="4"/>
        <v>65.122218955209249</v>
      </c>
    </row>
    <row r="5" spans="1:20" x14ac:dyDescent="0.25">
      <c r="A5" t="s">
        <v>24</v>
      </c>
      <c r="B5" t="s">
        <v>21</v>
      </c>
      <c r="C5" s="7">
        <v>1.2032</v>
      </c>
      <c r="D5" s="7">
        <v>1.1868000000000001</v>
      </c>
      <c r="E5" s="7">
        <v>0.94059999999999999</v>
      </c>
      <c r="F5" s="7">
        <v>0.95330000000000004</v>
      </c>
      <c r="G5" s="7">
        <v>1.1608000000000001</v>
      </c>
      <c r="H5" s="7">
        <v>1.1836</v>
      </c>
      <c r="I5" s="7">
        <v>0.95709999999999995</v>
      </c>
      <c r="J5" s="7">
        <v>1.1329</v>
      </c>
      <c r="K5" s="7">
        <v>0.99450000000000005</v>
      </c>
      <c r="L5" s="7">
        <v>0.97650000000000003</v>
      </c>
      <c r="M5">
        <f t="shared" si="0"/>
        <v>1.0689299999999999</v>
      </c>
      <c r="N5">
        <f>_xlfn.STDEV.S(BenchmarkTable[[#This Row],[Rep 1]:[Promedio (s)]])</f>
        <v>0.1067853927276573</v>
      </c>
      <c r="O5">
        <f t="shared" si="1"/>
        <v>0.94059999999999999</v>
      </c>
      <c r="P5">
        <f t="shared" si="2"/>
        <v>1.2032</v>
      </c>
      <c r="Q5">
        <f>M2</f>
        <v>53.155359999999995</v>
      </c>
      <c r="R5">
        <f t="shared" si="3"/>
        <v>49.727634176232307</v>
      </c>
      <c r="T5" t="str">
        <f t="shared" si="4"/>
        <v/>
      </c>
    </row>
    <row r="6" spans="1:20" x14ac:dyDescent="0.25">
      <c r="A6" t="s">
        <v>20</v>
      </c>
      <c r="B6" t="s">
        <v>25</v>
      </c>
      <c r="C6" s="7">
        <v>58.154699999999998</v>
      </c>
      <c r="D6" s="7">
        <v>58.182200000000002</v>
      </c>
      <c r="E6" s="7">
        <v>57.320900000000002</v>
      </c>
      <c r="F6" s="7">
        <v>57.659300000000002</v>
      </c>
      <c r="G6" s="7">
        <v>57.891300000000001</v>
      </c>
      <c r="H6" s="7">
        <v>57.954099999999997</v>
      </c>
      <c r="I6" s="7">
        <v>58.2943</v>
      </c>
      <c r="J6" s="7">
        <v>58.810699999999997</v>
      </c>
      <c r="K6" s="7">
        <v>58.645499999999998</v>
      </c>
      <c r="L6" s="7">
        <v>57.954700000000003</v>
      </c>
      <c r="M6">
        <f t="shared" si="0"/>
        <v>58.086770000000001</v>
      </c>
      <c r="N6">
        <f>_xlfn.STDEV.S(BenchmarkTable[[#This Row],[Rep 1]:[Promedio (s)]])</f>
        <v>0.41660337504633704</v>
      </c>
      <c r="O6">
        <f t="shared" si="1"/>
        <v>57.320900000000002</v>
      </c>
      <c r="P6">
        <f t="shared" si="2"/>
        <v>58.810699999999997</v>
      </c>
      <c r="Q6">
        <f>M6</f>
        <v>58.086770000000001</v>
      </c>
      <c r="R6">
        <f t="shared" si="3"/>
        <v>1</v>
      </c>
      <c r="T6" t="str">
        <f t="shared" si="4"/>
        <v/>
      </c>
    </row>
    <row r="7" spans="1:20" x14ac:dyDescent="0.25">
      <c r="A7" t="s">
        <v>22</v>
      </c>
      <c r="B7" t="s">
        <v>25</v>
      </c>
      <c r="C7" s="7">
        <v>9.5000000000000001E-2</v>
      </c>
      <c r="D7" s="7">
        <v>0.1003</v>
      </c>
      <c r="E7" s="7">
        <v>9.4200000000000006E-2</v>
      </c>
      <c r="F7" s="7">
        <v>9.2700000000000005E-2</v>
      </c>
      <c r="G7" s="7">
        <v>0.13819999999999999</v>
      </c>
      <c r="H7" s="7">
        <v>8.3400000000000002E-2</v>
      </c>
      <c r="I7" s="7">
        <v>0.1195</v>
      </c>
      <c r="J7" s="7">
        <v>9.1899999999999996E-2</v>
      </c>
      <c r="K7" s="7">
        <v>9.9500000000000005E-2</v>
      </c>
      <c r="L7" s="7">
        <v>8.5099999999999995E-2</v>
      </c>
      <c r="M7">
        <f t="shared" si="0"/>
        <v>9.9979999999999999E-2</v>
      </c>
      <c r="N7">
        <f>_xlfn.STDEV.S(BenchmarkTable[[#This Row],[Rep 1]:[Promedio (s)]])</f>
        <v>1.5858549744538375E-2</v>
      </c>
      <c r="O7">
        <f t="shared" si="1"/>
        <v>8.3400000000000002E-2</v>
      </c>
      <c r="P7">
        <f t="shared" si="2"/>
        <v>0.13819999999999999</v>
      </c>
      <c r="Q7">
        <f>M6</f>
        <v>58.086770000000001</v>
      </c>
      <c r="R7">
        <f t="shared" si="3"/>
        <v>580.98389677935586</v>
      </c>
      <c r="T7" t="str">
        <f t="shared" si="4"/>
        <v/>
      </c>
    </row>
    <row r="8" spans="1:20" x14ac:dyDescent="0.25">
      <c r="A8" t="s">
        <v>23</v>
      </c>
      <c r="B8" t="s">
        <v>25</v>
      </c>
      <c r="C8" s="7">
        <v>6.3739999999999997</v>
      </c>
      <c r="D8" s="7">
        <v>6.5787000000000004</v>
      </c>
      <c r="E8" s="7">
        <v>6.4047999999999998</v>
      </c>
      <c r="F8" s="7">
        <v>5.9572000000000003</v>
      </c>
      <c r="G8" s="7">
        <v>6.0659000000000001</v>
      </c>
      <c r="H8" s="7">
        <v>6.3003</v>
      </c>
      <c r="I8" s="7">
        <v>6.3685999999999998</v>
      </c>
      <c r="J8" s="7">
        <v>6.4221000000000004</v>
      </c>
      <c r="K8" s="7">
        <v>6.3951000000000002</v>
      </c>
      <c r="L8" s="7">
        <v>6.9234</v>
      </c>
      <c r="M8">
        <f t="shared" si="0"/>
        <v>6.3790100000000001</v>
      </c>
      <c r="N8">
        <f>_xlfn.STDEV.S(BenchmarkTable[[#This Row],[Rep 1]:[Promedio (s)]])</f>
        <v>0.24926042786611755</v>
      </c>
      <c r="O8">
        <f t="shared" si="1"/>
        <v>5.9572000000000003</v>
      </c>
      <c r="P8">
        <f t="shared" si="2"/>
        <v>6.9234</v>
      </c>
      <c r="Q8">
        <f>M6</f>
        <v>58.086770000000001</v>
      </c>
      <c r="R8">
        <f t="shared" si="3"/>
        <v>9.1059223923461481</v>
      </c>
      <c r="S8">
        <v>6</v>
      </c>
      <c r="T8">
        <f t="shared" si="4"/>
        <v>1.5176537320576913</v>
      </c>
    </row>
    <row r="9" spans="1:20" x14ac:dyDescent="0.25">
      <c r="A9" t="s">
        <v>24</v>
      </c>
      <c r="B9" t="s">
        <v>25</v>
      </c>
      <c r="C9" s="7">
        <v>2.0994000000000002</v>
      </c>
      <c r="D9" s="7">
        <v>1.696</v>
      </c>
      <c r="E9" s="7">
        <v>2.1570999999999998</v>
      </c>
      <c r="F9" s="7">
        <v>2.0413000000000001</v>
      </c>
      <c r="G9" s="7">
        <v>2.0566</v>
      </c>
      <c r="H9" s="7">
        <v>1.8619000000000001</v>
      </c>
      <c r="I9" s="7">
        <v>2.1099000000000001</v>
      </c>
      <c r="J9" s="7">
        <v>2.4163999999999999</v>
      </c>
      <c r="K9" s="7">
        <v>2.0032000000000001</v>
      </c>
      <c r="L9" s="7">
        <v>2.2543000000000002</v>
      </c>
      <c r="M9">
        <f t="shared" si="0"/>
        <v>2.0696099999999999</v>
      </c>
      <c r="N9">
        <f>_xlfn.STDEV.S(BenchmarkTable[[#This Row],[Rep 1]:[Promedio (s)]])</f>
        <v>0.18778919271353184</v>
      </c>
      <c r="O9">
        <f t="shared" si="1"/>
        <v>1.696</v>
      </c>
      <c r="P9">
        <f t="shared" si="2"/>
        <v>2.4163999999999999</v>
      </c>
      <c r="Q9">
        <f>M6</f>
        <v>58.086770000000001</v>
      </c>
      <c r="R9">
        <f t="shared" si="3"/>
        <v>28.066529442745253</v>
      </c>
      <c r="T9" t="str">
        <f t="shared" si="4"/>
        <v/>
      </c>
    </row>
    <row r="10" spans="1:20" x14ac:dyDescent="0.25">
      <c r="A10" t="s">
        <v>20</v>
      </c>
      <c r="B10" t="s">
        <v>26</v>
      </c>
      <c r="C10" s="7">
        <v>135.05680000000001</v>
      </c>
      <c r="D10" s="7">
        <v>134.9118</v>
      </c>
      <c r="E10" s="7">
        <v>135.43860000000001</v>
      </c>
      <c r="F10" s="7">
        <v>135.5625</v>
      </c>
      <c r="G10" s="7">
        <v>134.2911</v>
      </c>
      <c r="H10" s="7">
        <v>133.446</v>
      </c>
      <c r="I10" s="7">
        <v>133.5849</v>
      </c>
      <c r="J10" s="7">
        <v>133.92830000000001</v>
      </c>
      <c r="K10" s="7">
        <v>135.19300000000001</v>
      </c>
      <c r="L10" s="7">
        <v>133.80889999999999</v>
      </c>
      <c r="M10">
        <f t="shared" si="0"/>
        <v>134.52219000000002</v>
      </c>
      <c r="N10">
        <f>_xlfn.STDEV.S(BenchmarkTable[[#This Row],[Rep 1]:[Promedio (s)]])</f>
        <v>0.75902767070773092</v>
      </c>
      <c r="O10">
        <f t="shared" si="1"/>
        <v>133.446</v>
      </c>
      <c r="P10">
        <f t="shared" si="2"/>
        <v>135.5625</v>
      </c>
      <c r="Q10">
        <f>M10</f>
        <v>134.52219000000002</v>
      </c>
      <c r="R10">
        <f t="shared" si="3"/>
        <v>1</v>
      </c>
      <c r="T10" t="str">
        <f t="shared" si="4"/>
        <v/>
      </c>
    </row>
    <row r="11" spans="1:20" x14ac:dyDescent="0.25">
      <c r="A11" t="s">
        <v>22</v>
      </c>
      <c r="B11" t="s">
        <v>26</v>
      </c>
      <c r="C11" s="7">
        <v>0.3639</v>
      </c>
      <c r="D11" s="7">
        <v>0.30409999999999998</v>
      </c>
      <c r="E11" s="7">
        <v>0.31530000000000002</v>
      </c>
      <c r="F11" s="7">
        <v>0.30719999999999997</v>
      </c>
      <c r="G11" s="7">
        <v>0.26319999999999999</v>
      </c>
      <c r="H11" s="7">
        <v>0.27229999999999999</v>
      </c>
      <c r="I11" s="7">
        <v>0.26469999999999999</v>
      </c>
      <c r="J11" s="7">
        <v>0.27329999999999999</v>
      </c>
      <c r="K11" s="7">
        <v>0.25069999999999998</v>
      </c>
      <c r="L11" s="7">
        <v>0.2681</v>
      </c>
      <c r="M11">
        <f t="shared" si="0"/>
        <v>0.28827999999999998</v>
      </c>
      <c r="N11">
        <f>_xlfn.STDEV.S(BenchmarkTable[[#This Row],[Rep 1]:[Promedio (s)]])</f>
        <v>3.2466869266992833E-2</v>
      </c>
      <c r="O11">
        <f t="shared" si="1"/>
        <v>0.25069999999999998</v>
      </c>
      <c r="P11">
        <f t="shared" si="2"/>
        <v>0.3639</v>
      </c>
      <c r="Q11">
        <f>M10</f>
        <v>134.52219000000002</v>
      </c>
      <c r="R11">
        <f t="shared" si="3"/>
        <v>466.63726238379365</v>
      </c>
      <c r="T11" t="str">
        <f t="shared" si="4"/>
        <v/>
      </c>
    </row>
    <row r="12" spans="1:20" x14ac:dyDescent="0.25">
      <c r="A12" t="s">
        <v>23</v>
      </c>
      <c r="B12" t="s">
        <v>26</v>
      </c>
      <c r="C12" s="7">
        <v>19.2925</v>
      </c>
      <c r="D12" s="7">
        <v>18.978300000000001</v>
      </c>
      <c r="E12" s="7">
        <v>19.3202</v>
      </c>
      <c r="F12" s="7">
        <v>18.910499999999999</v>
      </c>
      <c r="G12" s="7">
        <v>19.1464</v>
      </c>
      <c r="H12" s="7">
        <v>19.418600000000001</v>
      </c>
      <c r="I12" s="7">
        <v>19.092400000000001</v>
      </c>
      <c r="J12" s="7">
        <v>19.247800000000002</v>
      </c>
      <c r="K12" s="7">
        <v>19.2288</v>
      </c>
      <c r="L12" s="7">
        <v>18.879100000000001</v>
      </c>
      <c r="M12">
        <f t="shared" si="0"/>
        <v>19.15146</v>
      </c>
      <c r="N12">
        <f>_xlfn.STDEV.S(BenchmarkTable[[#This Row],[Rep 1]:[Promedio (s)]])</f>
        <v>0.17341622876766769</v>
      </c>
      <c r="O12">
        <f t="shared" si="1"/>
        <v>18.879100000000001</v>
      </c>
      <c r="P12">
        <f t="shared" si="2"/>
        <v>19.418600000000001</v>
      </c>
      <c r="Q12">
        <f>M10</f>
        <v>134.52219000000002</v>
      </c>
      <c r="R12">
        <f t="shared" si="3"/>
        <v>7.024121920730849</v>
      </c>
      <c r="S12">
        <v>6</v>
      </c>
      <c r="T12">
        <f t="shared" si="4"/>
        <v>1.1706869867884748</v>
      </c>
    </row>
    <row r="13" spans="1:20" x14ac:dyDescent="0.25">
      <c r="A13" t="s">
        <v>24</v>
      </c>
      <c r="B13" t="s">
        <v>26</v>
      </c>
      <c r="C13" s="7">
        <v>11.781599999999999</v>
      </c>
      <c r="D13" s="7">
        <v>11.973599999999999</v>
      </c>
      <c r="E13" s="7">
        <v>11.3941</v>
      </c>
      <c r="F13" s="7">
        <v>13.6982</v>
      </c>
      <c r="G13" s="7">
        <v>13.9497</v>
      </c>
      <c r="H13" s="7">
        <v>13.5623</v>
      </c>
      <c r="I13" s="7">
        <v>11.6541</v>
      </c>
      <c r="J13" s="7">
        <v>11.615</v>
      </c>
      <c r="K13" s="7">
        <v>13.345800000000001</v>
      </c>
      <c r="L13" s="7">
        <v>13.920299999999999</v>
      </c>
      <c r="M13">
        <f t="shared" si="0"/>
        <v>12.689469999999998</v>
      </c>
      <c r="N13">
        <f>_xlfn.STDEV.S(BenchmarkTable[[#This Row],[Rep 1]:[Promedio (s)]])</f>
        <v>1.0273469560474691</v>
      </c>
      <c r="O13">
        <f t="shared" si="1"/>
        <v>11.3941</v>
      </c>
      <c r="P13">
        <f t="shared" si="2"/>
        <v>13.9497</v>
      </c>
      <c r="Q13">
        <f>M10</f>
        <v>134.52219000000002</v>
      </c>
      <c r="R13">
        <f t="shared" si="3"/>
        <v>10.601088146313442</v>
      </c>
      <c r="T13" t="str">
        <f t="shared" si="4"/>
        <v/>
      </c>
    </row>
    <row r="20" spans="1:20" x14ac:dyDescent="0.25">
      <c r="A20" s="2" t="s">
        <v>23</v>
      </c>
      <c r="B20" s="3" t="s">
        <v>26</v>
      </c>
      <c r="C20" s="9">
        <v>18.8398</v>
      </c>
      <c r="D20" s="9">
        <v>18.626000000000001</v>
      </c>
      <c r="E20" s="9"/>
      <c r="F20" s="9"/>
      <c r="G20" s="9"/>
      <c r="H20" s="9"/>
      <c r="I20" s="9"/>
      <c r="J20" s="9"/>
      <c r="K20" s="9"/>
      <c r="L20" s="9"/>
      <c r="M20" s="3">
        <f t="shared" ref="M20:M23" si="5">AVERAGE(C20:L20)</f>
        <v>18.732900000000001</v>
      </c>
      <c r="N20" s="3" t="e">
        <f>_xlfn.STDEV.S(BenchmarkTable[[#This Row],[Rep 1]:[Promedio (s)]])</f>
        <v>#VALUE!</v>
      </c>
      <c r="O20" s="3">
        <f t="shared" ref="O20:O23" si="6">MIN(C20:L20)</f>
        <v>18.626000000000001</v>
      </c>
      <c r="P20" s="3">
        <f t="shared" ref="P20:P23" si="7">MAX(C20:L20)</f>
        <v>18.8398</v>
      </c>
      <c r="Q20" s="3">
        <f>M20</f>
        <v>18.732900000000001</v>
      </c>
      <c r="R20" s="3">
        <f t="shared" ref="R20:R23" si="8">IFERROR(Q20/M20,"")</f>
        <v>1</v>
      </c>
      <c r="S20" s="3">
        <v>1</v>
      </c>
      <c r="T20" s="5">
        <f t="shared" ref="T20:T23" si="9">IFERROR(R20/S20,"")</f>
        <v>1</v>
      </c>
    </row>
    <row r="21" spans="1:20" x14ac:dyDescent="0.25">
      <c r="A21" s="2" t="s">
        <v>23</v>
      </c>
      <c r="B21" s="4" t="s">
        <v>26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4" t="e">
        <f t="shared" si="5"/>
        <v>#DIV/0!</v>
      </c>
      <c r="N21" s="4" t="e">
        <f>_xlfn.STDEV.S(BenchmarkTable[[#This Row],[Rep 1]:[Promedio (s)]])</f>
        <v>#VALUE!</v>
      </c>
      <c r="O21" s="4">
        <f t="shared" si="6"/>
        <v>0</v>
      </c>
      <c r="P21" s="4">
        <f t="shared" si="7"/>
        <v>0</v>
      </c>
      <c r="Q21" s="4">
        <f>M20</f>
        <v>18.732900000000001</v>
      </c>
      <c r="R21" s="4" t="str">
        <f t="shared" si="8"/>
        <v/>
      </c>
      <c r="S21" s="4">
        <v>2</v>
      </c>
      <c r="T21" s="6" t="str">
        <f t="shared" si="9"/>
        <v/>
      </c>
    </row>
    <row r="22" spans="1:20" x14ac:dyDescent="0.25">
      <c r="A22" s="2" t="s">
        <v>23</v>
      </c>
      <c r="B22" s="3" t="s">
        <v>26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3" t="e">
        <f t="shared" si="5"/>
        <v>#DIV/0!</v>
      </c>
      <c r="N22" s="3" t="e">
        <f>_xlfn.STDEV.S(BenchmarkTable[[#This Row],[Rep 1]:[Promedio (s)]])</f>
        <v>#VALUE!</v>
      </c>
      <c r="O22" s="3">
        <f t="shared" si="6"/>
        <v>0</v>
      </c>
      <c r="P22" s="3">
        <f t="shared" si="7"/>
        <v>0</v>
      </c>
      <c r="Q22" s="3">
        <f>M20</f>
        <v>18.732900000000001</v>
      </c>
      <c r="R22" s="3" t="str">
        <f t="shared" si="8"/>
        <v/>
      </c>
      <c r="S22" s="3">
        <v>4</v>
      </c>
      <c r="T22" s="5" t="str">
        <f t="shared" si="9"/>
        <v/>
      </c>
    </row>
    <row r="23" spans="1:20" x14ac:dyDescent="0.25">
      <c r="A23" s="2" t="s">
        <v>23</v>
      </c>
      <c r="B23" s="4" t="s">
        <v>26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4" t="e">
        <f t="shared" si="5"/>
        <v>#DIV/0!</v>
      </c>
      <c r="N23" s="4" t="e">
        <f>_xlfn.STDEV.S(BenchmarkTable[[#This Row],[Rep 1]:[Promedio (s)]])</f>
        <v>#VALUE!</v>
      </c>
      <c r="O23" s="4">
        <f t="shared" si="6"/>
        <v>0</v>
      </c>
      <c r="P23" s="4">
        <f t="shared" si="7"/>
        <v>0</v>
      </c>
      <c r="Q23" s="4">
        <f>M20</f>
        <v>18.732900000000001</v>
      </c>
      <c r="R23" s="4" t="str">
        <f t="shared" si="8"/>
        <v/>
      </c>
      <c r="S23" s="4">
        <v>6</v>
      </c>
      <c r="T23" s="6" t="str">
        <f t="shared" si="9"/>
        <v/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/>
  </sheetViews>
  <sheetFormatPr baseColWidth="10" defaultColWidth="9.140625" defaultRowHeight="15" x14ac:dyDescent="0.25"/>
  <sheetData>
    <row r="1" spans="1:1" x14ac:dyDescent="0.25">
      <c r="A1" t="s">
        <v>27</v>
      </c>
    </row>
    <row r="2" spans="1:1" x14ac:dyDescent="0.25">
      <c r="A2" t="s">
        <v>28</v>
      </c>
    </row>
    <row r="3" spans="1:1" x14ac:dyDescent="0.25">
      <c r="A3" t="s">
        <v>29</v>
      </c>
    </row>
    <row r="4" spans="1:1" x14ac:dyDescent="0.25">
      <c r="A4" t="s">
        <v>30</v>
      </c>
    </row>
    <row r="5" spans="1:1" x14ac:dyDescent="0.25">
      <c r="A5" t="s">
        <v>31</v>
      </c>
    </row>
    <row r="6" spans="1:1" x14ac:dyDescent="0.25">
      <c r="A6" t="s">
        <v>32</v>
      </c>
    </row>
    <row r="7" spans="1:1" x14ac:dyDescent="0.25">
      <c r="A7" t="s">
        <v>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Benchmark CNN HPC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andres mardones domcke</cp:lastModifiedBy>
  <dcterms:created xsi:type="dcterms:W3CDTF">2026-05-29T15:37:17Z</dcterms:created>
  <dcterms:modified xsi:type="dcterms:W3CDTF">2026-06-29T19:11:02Z</dcterms:modified>
</cp:coreProperties>
</file>